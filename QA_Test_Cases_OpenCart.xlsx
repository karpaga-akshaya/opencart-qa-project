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equirements" sheetId="2" state="visible" r:id="rId4"/>
    <sheet name="Test Cases" sheetId="3" state="visible" r:id="rId5"/>
    <sheet name="RTM" sheetId="4" state="visible" r:id="rId6"/>
    <sheet name="SQL Validation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<sst xmlns="http://schemas.openxmlformats.org/spreadsheetml/2006/main" count="511" uniqueCount="301">
  <si>
    <t xml:space="preserve">Manual QA Project - OpenCart E-Commerce Storefront</t>
  </si>
  <si>
    <t xml:space="preserve">Application Under Test:</t>
  </si>
  <si>
    <t xml:space="preserve">  Storefront: https://akshaya-qa.infinityfreeapp.com</t>
  </si>
  <si>
    <t xml:space="preserve">  Admin Panel: https://akshaya-qa.infinityfreeapp.com/admin</t>
  </si>
  <si>
    <t xml:space="preserve">  Database prefix: ocedb2_</t>
  </si>
  <si>
    <t xml:space="preserve">How to use this workbook:</t>
  </si>
  <si>
    <t xml:space="preserve">  1. Go to the 'Requirements' sheet - these are the features being tested.</t>
  </si>
  <si>
    <t xml:space="preserve">  2. Go to the 'Test Cases' sheet - execute each test case against the live site.</t>
  </si>
  <si>
    <t xml:space="preserve">     Fill in 'Actual Result' and select a 'Status' (Pass / Fail / Blocked / Not Executed) for every row.</t>
  </si>
  <si>
    <t xml:space="preserve">  3. The 'RTM' sheet shows which test cases cover which requirement - already mapped for you.</t>
  </si>
  <si>
    <t xml:space="preserve">  4. The 'SQL Validation' sheet has backend queries to run in phpMyAdmin after key UI actions.</t>
  </si>
  <si>
    <t xml:space="preserve">  5. The 'Summary' sheet auto-calculates Pass/Fail counts from the Test Cases sheet.</t>
  </si>
  <si>
    <t xml:space="preserve">  6. Log every 'Fail' as a bug in JIRA, then come back and update the Status column once retested.</t>
  </si>
  <si>
    <t xml:space="preserve">Tip: Use Ctrl+; in Excel to quickly insert today's date in the 'Date Executed' column.</t>
  </si>
  <si>
    <t xml:space="preserve">Req ID</t>
  </si>
  <si>
    <t xml:space="preserve">Module</t>
  </si>
  <si>
    <t xml:space="preserve">Requirement Description</t>
  </si>
  <si>
    <t xml:space="preserve">REQ-01</t>
  </si>
  <si>
    <t xml:space="preserve">Registration</t>
  </si>
  <si>
    <t xml:space="preserve">User should be able to create a new account with valid details (First name, Last name, Email, Password).</t>
  </si>
  <si>
    <t xml:space="preserve">REQ-02</t>
  </si>
  <si>
    <t xml:space="preserve">Login</t>
  </si>
  <si>
    <t xml:space="preserve">Registered user should be able to log in with valid credentials, and be blocked with invalid credentials.</t>
  </si>
  <si>
    <t xml:space="preserve">REQ-03</t>
  </si>
  <si>
    <t xml:space="preserve">Product Search</t>
  </si>
  <si>
    <t xml:space="preserve">User should be able to search for products by keyword and filter/sort results.</t>
  </si>
  <si>
    <t xml:space="preserve">REQ-04</t>
  </si>
  <si>
    <t xml:space="preserve">Product Details</t>
  </si>
  <si>
    <t xml:space="preserve">User should be able to view full product details, price, and images from the catalog.</t>
  </si>
  <si>
    <t xml:space="preserve">REQ-05</t>
  </si>
  <si>
    <t xml:space="preserve">Cart</t>
  </si>
  <si>
    <t xml:space="preserve">User should be able to add, update quantity of, and remove products from the shopping cart.</t>
  </si>
  <si>
    <t xml:space="preserve">REQ-06</t>
  </si>
  <si>
    <t xml:space="preserve">Coupon</t>
  </si>
  <si>
    <t xml:space="preserve">User should be able to apply a valid coupon/discount code at checkout and see the total reduced accordingly.</t>
  </si>
  <si>
    <t xml:space="preserve">REQ-07</t>
  </si>
  <si>
    <t xml:space="preserve">Checkout</t>
  </si>
  <si>
    <t xml:space="preserve">User should be able to complete checkout as a guest or as a registered customer, providing shipping/payment details.</t>
  </si>
  <si>
    <t xml:space="preserve">REQ-08</t>
  </si>
  <si>
    <t xml:space="preserve">Order Confirmation</t>
  </si>
  <si>
    <t xml:space="preserve">System should generate a unique order ID and display an order confirmation after successful checkout.</t>
  </si>
  <si>
    <t xml:space="preserve">REQ-09</t>
  </si>
  <si>
    <t xml:space="preserve">Admin - Order Management</t>
  </si>
  <si>
    <t xml:space="preserve">Admin should be able to view orders and update order status (Pending, Processing, Shipped, Complete).</t>
  </si>
  <si>
    <t xml:space="preserve">REQ-10</t>
  </si>
  <si>
    <t xml:space="preserve">Admin - Product Management</t>
  </si>
  <si>
    <t xml:space="preserve">Admin should be able to add, edit, and disable/enable products in the catalog.</t>
  </si>
  <si>
    <t xml:space="preserve">REQ-11</t>
  </si>
  <si>
    <t xml:space="preserve">Data Integrity</t>
  </si>
  <si>
    <t xml:space="preserve">Data entered/changed via the storefront or admin UI must be accurately reflected in the backend database.</t>
  </si>
  <si>
    <t xml:space="preserve">Test ID</t>
  </si>
  <si>
    <t xml:space="preserve">Test Type</t>
  </si>
  <si>
    <t xml:space="preserve">Priority</t>
  </si>
  <si>
    <t xml:space="preserve">Title</t>
  </si>
  <si>
    <t xml:space="preserve">Precondition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</si>
  <si>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</si>
  <si>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</si>
  <si>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</si>
  <si>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</si>
  <si>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Date Executed</t>
  </si>
  <si>
    <t xml:space="preserve">Defect ID</t>
  </si>
  <si>
    <t xml:space="preserve">TC001</t>
  </si>
  <si>
    <t xml:space="preserve">Functional</t>
  </si>
  <si>
    <t xml:space="preserve">High</t>
  </si>
  <si>
    <t xml:space="preserve">Register with valid details</t>
  </si>
  <si>
    <t xml:space="preserve">User is on the storefront, not logged in</t>
  </si>
  <si>
    <t xml:space="preserve">1. Go to My Account &gt; Register
2. Enter valid First Name, Last Name, Email, Telephone, Password
3. Agree to Privacy Policy checkbox
4. Click Continue</t>
  </si>
  <si>
    <t xml:space="preserve">Account is created successfully and a confirmation/welcome page is shown</t>
  </si>
  <si>
    <t xml:space="preserve">Not Executed</t>
  </si>
  <si>
    <t xml:space="preserve">TC002</t>
  </si>
  <si>
    <t xml:space="preserve">Register with already-used email</t>
  </si>
  <si>
    <t xml:space="preserve">A test account already exists</t>
  </si>
  <si>
    <t xml:space="preserve">1. Go to Register page
2. Enter an email that is already registered
3. Fill remaining fields validly
4. Click Continue</t>
  </si>
  <si>
    <t xml:space="preserve">Error message is shown: e-mail address is already registered</t>
  </si>
  <si>
    <t xml:space="preserve">TC003</t>
  </si>
  <si>
    <t xml:space="preserve">Medium</t>
  </si>
  <si>
    <t xml:space="preserve">Register with mandatory field blank</t>
  </si>
  <si>
    <t xml:space="preserve">User is on Register page</t>
  </si>
  <si>
    <t xml:space="preserve">1. Leave First Name blank
2. Fill all other fields validly
3. Click Continue</t>
  </si>
  <si>
    <t xml:space="preserve">Error message: First Name must be between 1 and 32 characters</t>
  </si>
  <si>
    <t xml:space="preserve">TC004</t>
  </si>
  <si>
    <t xml:space="preserve">Register with invalid email format</t>
  </si>
  <si>
    <t xml:space="preserve">1. Enter 'testuser' (no @ symbol) in Email field
2. Fill remaining fields validly
3. Click Continue</t>
  </si>
  <si>
    <t xml:space="preserve">Error message indicating invalid email format is shown</t>
  </si>
  <si>
    <t xml:space="preserve">TC005</t>
  </si>
  <si>
    <t xml:space="preserve">Low</t>
  </si>
  <si>
    <t xml:space="preserve">Register with mismatched password confirmation</t>
  </si>
  <si>
    <t xml:space="preserve">1. Enter Password = 'Test@123'
2. Enter Confirm Password = 'Test@456'
3. Click Continue</t>
  </si>
  <si>
    <t xml:space="preserve">Error message: Password confirmation does not match Password</t>
  </si>
  <si>
    <t xml:space="preserve">TC006</t>
  </si>
  <si>
    <t xml:space="preserve">Login with valid credentials</t>
  </si>
  <si>
    <t xml:space="preserve">A registered account exists</t>
  </si>
  <si>
    <t xml:space="preserve">1. Go to My Account &gt; Login
2. Enter valid registered email and password
3. Click Login</t>
  </si>
  <si>
    <t xml:space="preserve">User is logged in and redirected to My Account dashboard</t>
  </si>
  <si>
    <t xml:space="preserve">TC007</t>
  </si>
  <si>
    <t xml:space="preserve">Login with incorrect password</t>
  </si>
  <si>
    <t xml:space="preserve">1. Go to Login page
2. Enter valid email with an incorrect password
3. Click Login</t>
  </si>
  <si>
    <t xml:space="preserve">Error message: No match for E-Mail Address and/or Password</t>
  </si>
  <si>
    <t xml:space="preserve">TC008</t>
  </si>
  <si>
    <t xml:space="preserve">Login with unregistered email</t>
  </si>
  <si>
    <t xml:space="preserve">User is on Login page</t>
  </si>
  <si>
    <t xml:space="preserve">1. Enter an email that has never been registered
2. Enter any password
3. Click Login</t>
  </si>
  <si>
    <t xml:space="preserve">TC009</t>
  </si>
  <si>
    <t xml:space="preserve">Login with empty fields</t>
  </si>
  <si>
    <t xml:space="preserve">1. Leave Email and Password blank
2. Click Login</t>
  </si>
  <si>
    <t xml:space="preserve">Validation error is shown, login is not attempted</t>
  </si>
  <si>
    <t xml:space="preserve">TC010</t>
  </si>
  <si>
    <t xml:space="preserve">Search for an existing product</t>
  </si>
  <si>
    <t xml:space="preserve">User is on the storefront</t>
  </si>
  <si>
    <t xml:space="preserve">1. Enter a valid product keyword (e.g. 'MacBook') in the search box
2. Click the search icon</t>
  </si>
  <si>
    <t xml:space="preserve">Matching products are displayed in the results grid</t>
  </si>
  <si>
    <t xml:space="preserve">TC011</t>
  </si>
  <si>
    <t xml:space="preserve">Search with no matching results</t>
  </si>
  <si>
    <t xml:space="preserve">1. Enter a random keyword that matches no product (e.g. 'zzzzzz123')
2. Click search</t>
  </si>
  <si>
    <t xml:space="preserve">A 'no products' message is shown, no application error occurs</t>
  </si>
  <si>
    <t xml:space="preserve">TC012</t>
  </si>
  <si>
    <t xml:space="preserve">Search with special characters</t>
  </si>
  <si>
    <t xml:space="preserve">1. Enter special characters (e.g. ' OR 1=1 --) into the search box
2. Click search</t>
  </si>
  <si>
    <t xml:space="preserve">Search safely returns no results / handles input without error or exposing data (SQL injection is blocked)</t>
  </si>
  <si>
    <t xml:space="preserve">TC013</t>
  </si>
  <si>
    <t xml:space="preserve">Sort products by price (low to high)</t>
  </si>
  <si>
    <t xml:space="preserve">User is viewing a category page</t>
  </si>
  <si>
    <t xml:space="preserve">1. Open a product category
2. Select sort option 'Price (Low &gt; High)'</t>
  </si>
  <si>
    <t xml:space="preserve">Products are re-ordered in ascending price order</t>
  </si>
  <si>
    <t xml:space="preserve">TC014</t>
  </si>
  <si>
    <t xml:space="preserve">Filter products by category</t>
  </si>
  <si>
    <t xml:space="preserve">1. Click a top-level category from the navigation menu (e.g. Laptops &amp; Notebooks)</t>
  </si>
  <si>
    <t xml:space="preserve">Only products belonging to that category are displayed</t>
  </si>
  <si>
    <t xml:space="preserve">TC015</t>
  </si>
  <si>
    <t xml:space="preserve">View product detail page</t>
  </si>
  <si>
    <t xml:space="preserve">A product exists in the catalog</t>
  </si>
  <si>
    <t xml:space="preserve">1. Click a product from the listing/search results</t>
  </si>
  <si>
    <t xml:space="preserve">Product detail page loads with correct name, price, description, and image</t>
  </si>
  <si>
    <t xml:space="preserve">TC016</t>
  </si>
  <si>
    <t xml:space="preserve">Add product to Wish List</t>
  </si>
  <si>
    <t xml:space="preserve">User is logged in, viewing a product</t>
  </si>
  <si>
    <t xml:space="preserve">1. Click 'Add to Wish List' on a product page</t>
  </si>
  <si>
    <t xml:space="preserve">Product is added to the Wish List and a confirmation message is shown</t>
  </si>
  <si>
    <t xml:space="preserve">TC017</t>
  </si>
  <si>
    <t xml:space="preserve">Add product to cart</t>
  </si>
  <si>
    <t xml:space="preserve">A product page is open</t>
  </si>
  <si>
    <t xml:space="preserve">1. Set Quantity = 1
2. Click 'Add to Cart'</t>
  </si>
  <si>
    <t xml:space="preserve">Product is added, cart icon/count updates, and a success message is shown</t>
  </si>
  <si>
    <t xml:space="preserve">TC018</t>
  </si>
  <si>
    <t xml:space="preserve">Update quantity in cart</t>
  </si>
  <si>
    <t xml:space="preserve">At least 1 product is already in the cart</t>
  </si>
  <si>
    <t xml:space="preserve">1. Go to Shopping Cart page
2. Change quantity of an item from 1 to 3
3. Click Update</t>
  </si>
  <si>
    <t xml:space="preserve">Cart line total and cart grand total recalculate correctly for quantity 3</t>
  </si>
  <si>
    <t xml:space="preserve">TC019</t>
  </si>
  <si>
    <t xml:space="preserve">Remove product from cart</t>
  </si>
  <si>
    <t xml:space="preserve">At least 1 product is in the cart</t>
  </si>
  <si>
    <t xml:space="preserve">1. Go to Shopping Cart page
2. Click the Remove icon next to a product</t>
  </si>
  <si>
    <t xml:space="preserve">Product is removed and cart total updates accordingly; empty cart message shows if it was the only item</t>
  </si>
  <si>
    <t xml:space="preserve">TC020</t>
  </si>
  <si>
    <t xml:space="preserve">Add product with quantity 0</t>
  </si>
  <si>
    <t xml:space="preserve">1. Set Quantity = 0
2. Click 'Add to Cart'</t>
  </si>
  <si>
    <t xml:space="preserve">System should reject or normalize the quantity (not silently add 0 items); no application error</t>
  </si>
  <si>
    <t xml:space="preserve">TC021</t>
  </si>
  <si>
    <t xml:space="preserve">Enter negative quantity in cart</t>
  </si>
  <si>
    <t xml:space="preserve">1. Go to Shopping Cart page
2. Change quantity to -1
3. Click Update</t>
  </si>
  <si>
    <t xml:space="preserve">System should reject the negative value with a validation message, not process it</t>
  </si>
  <si>
    <t xml:space="preserve">TC022</t>
  </si>
  <si>
    <t xml:space="preserve">Apply a valid coupon code</t>
  </si>
  <si>
    <t xml:space="preserve">Cart has items; a valid coupon exists in Admin &gt; Marketing &gt; Coupons</t>
  </si>
  <si>
    <t xml:space="preserve">1. Go to Checkout / Cart page
2. Expand 'Use Coupon Code'
3. Enter a valid coupon code
4. Click Apply Coupon</t>
  </si>
  <si>
    <t xml:space="preserve">Discount is applied and the order total is reduced correctly</t>
  </si>
  <si>
    <t xml:space="preserve">TC023</t>
  </si>
  <si>
    <t xml:space="preserve">Apply an invalid coupon code</t>
  </si>
  <si>
    <t xml:space="preserve">Cart has items</t>
  </si>
  <si>
    <t xml:space="preserve">1. Enter a random/invalid coupon code
2. Click Apply Coupon</t>
  </si>
  <si>
    <t xml:space="preserve">Error message: Coupon is either invalid, or has expired, or has a minimum spend</t>
  </si>
  <si>
    <t xml:space="preserve">TC024</t>
  </si>
  <si>
    <t xml:space="preserve">Apply an expired coupon code</t>
  </si>
  <si>
    <t xml:space="preserve">An expired coupon exists in Admin</t>
  </si>
  <si>
    <t xml:space="preserve">1. Enter the expired coupon code
2. Click Apply Coupon</t>
  </si>
  <si>
    <t xml:space="preserve">Coupon is rejected with an appropriate error message</t>
  </si>
  <si>
    <t xml:space="preserve">TC025</t>
  </si>
  <si>
    <t xml:space="preserve">Guest checkout with valid details</t>
  </si>
  <si>
    <t xml:space="preserve">Cart has at least 1 item</t>
  </si>
  <si>
    <t xml:space="preserve">1. Go to Checkout
2. Select 'Guest Checkout'
3. Fill valid billing/shipping address
4. Select a payment method (e.g. Cash on Delivery)
5. Confirm order</t>
  </si>
  <si>
    <t xml:space="preserve">Order is placed successfully and an Order ID is generated</t>
  </si>
  <si>
    <t xml:space="preserve">TC026</t>
  </si>
  <si>
    <t xml:space="preserve">Registered user checkout</t>
  </si>
  <si>
    <t xml:space="preserve">User is logged in with items in cart</t>
  </si>
  <si>
    <t xml:space="preserve">1. Go to Checkout
2. Confirm pre-filled address or add a new one
3. Select payment method
4. Confirm order</t>
  </si>
  <si>
    <t xml:space="preserve">Order is placed successfully using the account's saved details</t>
  </si>
  <si>
    <t xml:space="preserve">TC027</t>
  </si>
  <si>
    <t xml:space="preserve">Checkout with mandatory field left blank</t>
  </si>
  <si>
    <t xml:space="preserve">User is on checkout address step</t>
  </si>
  <si>
    <t xml:space="preserve">1. Leave 'First Name' blank on the address form
2. Try to continue</t>
  </si>
  <si>
    <t xml:space="preserve">Validation error is shown; user cannot proceed to next step</t>
  </si>
  <si>
    <t xml:space="preserve">TC028</t>
  </si>
  <si>
    <t xml:space="preserve">Checkout without agreeing to Terms &amp; Conditions</t>
  </si>
  <si>
    <t xml:space="preserve">User has reached order confirmation step</t>
  </si>
  <si>
    <t xml:space="preserve">1. Leave 'I have read and agree to the Terms &amp; Conditions' unchecked
2. Click Confirm Order</t>
  </si>
  <si>
    <t xml:space="preserve">Order is not submitted; validation message prompts user to agree to terms</t>
  </si>
  <si>
    <t xml:space="preserve">TC029</t>
  </si>
  <si>
    <t xml:space="preserve">Order confirmation details are correct</t>
  </si>
  <si>
    <t xml:space="preserve">An order has just been placed</t>
  </si>
  <si>
    <t xml:space="preserve">1. Complete an order end-to-end
2. Observe the confirmation page</t>
  </si>
  <si>
    <t xml:space="preserve">A unique Order ID is displayed along with an order summary matching what was purchased</t>
  </si>
  <si>
    <t xml:space="preserve">TC030</t>
  </si>
  <si>
    <t xml:space="preserve">Admin - Order Mgmt</t>
  </si>
  <si>
    <t xml:space="preserve">Admin can view placed orders</t>
  </si>
  <si>
    <t xml:space="preserve">At least 1 order has been placed on the storefront</t>
  </si>
  <si>
    <t xml:space="preserve">1. Log in to Admin Panel
2. Go to Sales &gt; Orders</t>
  </si>
  <si>
    <t xml:space="preserve">The order placed on the storefront appears in the admin order list with correct customer and total</t>
  </si>
  <si>
    <t xml:space="preserve">TC031</t>
  </si>
  <si>
    <t xml:space="preserve">Admin can update order status</t>
  </si>
  <si>
    <t xml:space="preserve">An order exists in Admin &gt; Sales &gt; Orders</t>
  </si>
  <si>
    <t xml:space="preserve">1. Open an order
2. Change Order Status from 'Pending' to 'Processing'
3. Click Add History / Save</t>
  </si>
  <si>
    <t xml:space="preserve">Order status updates successfully and is reflected in the order history log</t>
  </si>
  <si>
    <t xml:space="preserve">TC032</t>
  </si>
  <si>
    <t xml:space="preserve">Admin - Product Mgmt</t>
  </si>
  <si>
    <t xml:space="preserve">Admin can add a new product</t>
  </si>
  <si>
    <t xml:space="preserve">Admin is logged in</t>
  </si>
  <si>
    <t xml:space="preserve">1. Go to Catalog &gt; Products &gt; Add New
2. Fill in Product Name, Model, Price, Quantity
3. Click Save</t>
  </si>
  <si>
    <t xml:space="preserve">New product is created and appears in the product list and storefront catalog</t>
  </si>
  <si>
    <t xml:space="preserve">TC033</t>
  </si>
  <si>
    <t xml:space="preserve">Admin can disable a product</t>
  </si>
  <si>
    <t xml:space="preserve">1. Edit an existing product
2. Set Status to 'Disabled'
3. Click Save</t>
  </si>
  <si>
    <t xml:space="preserve">Product no longer appears on the storefront but remains in Admin</t>
  </si>
  <si>
    <t xml:space="preserve">TC034</t>
  </si>
  <si>
    <t xml:space="preserve">Backend/SQL</t>
  </si>
  <si>
    <t xml:space="preserve">Registered customer is saved in database</t>
  </si>
  <si>
    <t xml:space="preserve">A new account was just registered on the storefront</t>
  </si>
  <si>
    <t xml:space="preserve">1. Register a new test account on the storefront
2. Open phpMyAdmin &gt; ocedb2_customer table
3. Search for the new customer's email</t>
  </si>
  <si>
    <t xml:space="preserve">A matching row exists in ocedb2_customer with the correct first name, last name, and email</t>
  </si>
  <si>
    <t xml:space="preserve">TC035</t>
  </si>
  <si>
    <t xml:space="preserve">Placed order is saved correctly in database</t>
  </si>
  <si>
    <t xml:space="preserve">An order was just placed on the storefront</t>
  </si>
  <si>
    <t xml:space="preserve">1. Place a test order on the storefront and note the Order ID
2. Open phpMyAdmin &gt; ocedb2_order table
3. Search for that order_id</t>
  </si>
  <si>
    <t xml:space="preserve">Order row exists with matching total, customer, and status matching what was shown on confirmation</t>
  </si>
  <si>
    <t xml:space="preserve">TC036</t>
  </si>
  <si>
    <t xml:space="preserve">Order product line items match database</t>
  </si>
  <si>
    <t xml:space="preserve">An order with 2+ products was just placed</t>
  </si>
  <si>
    <t xml:space="preserve">1. Place an order with 2 different products
2. Open ocedb2_order_product table
3. Filter by the order_id</t>
  </si>
  <si>
    <t xml:space="preserve">Each product and its quantity/price in the table matches exactly what was ordered on the storefront</t>
  </si>
  <si>
    <t xml:space="preserve">Requirement</t>
  </si>
  <si>
    <t xml:space="preserve">Covered By Test Case ID(s)</t>
  </si>
  <si>
    <t xml:space="preserve">TC001, TC002, TC003, TC004, TC005</t>
  </si>
  <si>
    <t xml:space="preserve">TC006, TC007, TC008, TC009</t>
  </si>
  <si>
    <t xml:space="preserve">TC010, TC011, TC012, TC013, TC014</t>
  </si>
  <si>
    <t xml:space="preserve">TC015, TC016</t>
  </si>
  <si>
    <t xml:space="preserve">TC017, TC018, TC019, TC020, TC021</t>
  </si>
  <si>
    <t xml:space="preserve">TC022, TC023, TC024</t>
  </si>
  <si>
    <t xml:space="preserve">TC025, TC026, TC027, TC028</t>
  </si>
  <si>
    <t xml:space="preserve">TC030, TC031</t>
  </si>
  <si>
    <t xml:space="preserve">TC032, TC033</t>
  </si>
  <si>
    <t xml:space="preserve">TC034, TC035, TC036</t>
  </si>
  <si>
    <t xml:space="preserve">Check ID</t>
  </si>
  <si>
    <t xml:space="preserve">Purpose</t>
  </si>
  <si>
    <t xml:space="preserve">SQL Query (run in phpMyAdmin &gt; SQL tab)</t>
  </si>
  <si>
    <t xml:space="preserve">Expected Outcome</t>
  </si>
  <si>
    <t xml:space="preserve">Result</t>
  </si>
  <si>
    <t xml:space="preserve">SQL-01</t>
  </si>
  <si>
    <t xml:space="preserve">Verify a newly registered customer is saved</t>
  </si>
  <si>
    <t xml:space="preserve">SELECT * FROM ocedb2_customer WHERE email = 'test@example.com';</t>
  </si>
  <si>
    <t xml:space="preserve">One row returned with matching firstname, lastname, and email</t>
  </si>
  <si>
    <t xml:space="preserve">SQL-02</t>
  </si>
  <si>
    <t xml:space="preserve">Verify total registered customer count</t>
  </si>
  <si>
    <t xml:space="preserve">SELECT COUNT(*) AS total_customers FROM ocedb2_customer;</t>
  </si>
  <si>
    <t xml:space="preserve">Count matches the number of accounts registered during testing</t>
  </si>
  <si>
    <t xml:space="preserve">SQL-03</t>
  </si>
  <si>
    <t xml:space="preserve">Verify a placed order exists with correct total</t>
  </si>
  <si>
    <t xml:space="preserve">SELECT order_id, firstname, lastname, total, order_status_id FROM ocedb2_order WHERE order_id = &lt;ORDER_ID&gt;;</t>
  </si>
  <si>
    <t xml:space="preserve">Row exists; total matches the amount shown on the storefront order confirmation</t>
  </si>
  <si>
    <t xml:space="preserve">SQL-04</t>
  </si>
  <si>
    <t xml:space="preserve">Verify order line items (products &amp; quantities) match the order</t>
  </si>
  <si>
    <t xml:space="preserve">SELECT product_id, name, quantity, price FROM ocedb2_order_product WHERE order_id = &lt;ORDER_ID&gt;;</t>
  </si>
  <si>
    <t xml:space="preserve">Each product, quantity, and price matches exactly what was added to cart and ordered</t>
  </si>
  <si>
    <t xml:space="preserve">SQL-05</t>
  </si>
  <si>
    <t xml:space="preserve">Verify coupon discount is reflected in order total</t>
  </si>
  <si>
    <t xml:space="preserve">SELECT order_id, code, value FROM ocedb2_order_total WHERE order_id = &lt;ORDER_ID&gt; AND code LIKE 'coupon%';</t>
  </si>
  <si>
    <t xml:space="preserve">A coupon row exists and its value matches the discount shown at checkout</t>
  </si>
  <si>
    <t xml:space="preserve">SQL-06</t>
  </si>
  <si>
    <t xml:space="preserve">Verify admin order status update is persisted</t>
  </si>
  <si>
    <t xml:space="preserve">SELECT order_id, order_status_id, date_modified FROM ocedb2_order WHERE order_id = &lt;ORDER_ID&gt;;</t>
  </si>
  <si>
    <t xml:space="preserve">order_status_id reflects the status set in Admin (e.g. Processing = 2), date_modified is recent</t>
  </si>
  <si>
    <t xml:space="preserve">SQL-07</t>
  </si>
  <si>
    <t xml:space="preserve">Verify order status history log entry was created</t>
  </si>
  <si>
    <t xml:space="preserve">SELECT * FROM ocedb2_order_history WHERE order_id = &lt;ORDER_ID&gt; ORDER BY date_added DESC;</t>
  </si>
  <si>
    <t xml:space="preserve">A new row exists for each status change made in Admin, in chronological order</t>
  </si>
  <si>
    <t xml:space="preserve">SQL-08</t>
  </si>
  <si>
    <t xml:space="preserve">Verify a new product added in Admin appears in the catalog table</t>
  </si>
  <si>
    <t xml:space="preserve">SELECT product_id, model, price, status FROM ocedb2_product WHERE model = '&lt;TEST_MODEL&gt;';</t>
  </si>
  <si>
    <t xml:space="preserve">Row exists with status = 1 (enabled) and price matching what was entered in Admin</t>
  </si>
  <si>
    <t xml:space="preserve">SQL-09</t>
  </si>
  <si>
    <t xml:space="preserve">Verify a disabled product's status is correctly stored</t>
  </si>
  <si>
    <t xml:space="preserve">SELECT product_id, status FROM ocedb2_product WHERE product_id = &lt;PRODUCT_ID&gt;;</t>
  </si>
  <si>
    <t xml:space="preserve">status = 0, confirming the product will not display on the storefront</t>
  </si>
  <si>
    <t xml:space="preserve">SQL-10</t>
  </si>
  <si>
    <t xml:space="preserve">Verify duplicate email registration is blocked at DB level (no duplicate row)</t>
  </si>
  <si>
    <t xml:space="preserve">SELECT email, COUNT(*) FROM ocedb2_customer GROUP BY email HAVING COUNT(*) &gt; 1;</t>
  </si>
  <si>
    <t xml:space="preserve">No rows returned - confirms no duplicate customer emails exist</t>
  </si>
  <si>
    <t xml:space="preserve">Test Execution 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</si>
  <si>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</si>
  <si>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</si>
  <si>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</si>
  <si>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</si>
  <si>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Pass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</si>
</sst>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</row>
    <row r="2" customFormat="false" ht="15" hidden="false" customHeight="false" outlineLevel="0" collapsed="false">
      <c r="A2" s="5" t="s">
        <v>17</v>
      </c>
      <c r="B2" s="5" t="s">
        <v>18</v>
      </c>
      <c r="C2" s="5" t="s">
        <v>19</v>
      </c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22</v>
      </c>
    </row>
    <row r="4" customFormat="false" ht="15" hidden="false" customHeight="false" outlineLevel="0" collapsed="false">
      <c r="A4" s="5" t="s">
        <v>23</v>
      </c>
      <c r="B4" s="5" t="s">
        <v>24</v>
      </c>
      <c r="C4" s="5" t="s">
        <v>25</v>
      </c>
    </row>
    <row r="5" customFormat="false" ht="15" hidden="false" customHeight="false" outlineLevel="0" collapsed="false">
      <c r="A5" s="5" t="s">
        <v>26</v>
      </c>
      <c r="B5" s="5" t="s">
        <v>27</v>
      </c>
      <c r="C5" s="5" t="s">
        <v>28</v>
      </c>
    </row>
    <row r="6" customFormat="false" ht="15" hidden="false" customHeight="false" outlineLevel="0" collapsed="false">
      <c r="A6" s="5" t="s">
        <v>29</v>
      </c>
      <c r="B6" s="5" t="s">
        <v>30</v>
      </c>
      <c r="C6" s="5" t="s">
        <v>31</v>
      </c>
    </row>
    <row r="7" customFormat="false" ht="15" hidden="false" customHeight="false" outlineLevel="0" collapsed="false">
      <c r="A7" s="5" t="s">
        <v>32</v>
      </c>
      <c r="B7" s="5" t="s">
        <v>33</v>
      </c>
      <c r="C7" s="5" t="s">
        <v>34</v>
      </c>
    </row>
    <row r="8" customFormat="false" ht="23.85" hidden="false" customHeight="false" outlineLevel="0" collapsed="false">
      <c r="A8" s="5" t="s">
        <v>35</v>
      </c>
      <c r="B8" s="5" t="s">
        <v>36</v>
      </c>
      <c r="C8" s="5" t="s">
        <v>37</v>
      </c>
    </row>
    <row r="9" customFormat="false" ht="15" hidden="false" customHeight="false" outlineLevel="0" collapsed="false">
      <c r="A9" s="5" t="s">
        <v>38</v>
      </c>
      <c r="B9" s="5" t="s">
        <v>39</v>
      </c>
      <c r="C9" s="5" t="s">
        <v>40</v>
      </c>
    </row>
    <row r="10" customFormat="false" ht="23.85" hidden="false" customHeight="false" outlineLevel="0" collapsed="false">
      <c r="A10" s="5" t="s">
        <v>41</v>
      </c>
      <c r="B10" s="5" t="s">
        <v>42</v>
      </c>
      <c r="C10" s="5" t="s">
        <v>43</v>
      </c>
    </row>
    <row r="11" customFormat="false" ht="23.85" hidden="false" customHeight="false" outlineLevel="0" collapsed="false">
      <c r="A11" s="5" t="s">
        <v>44</v>
      </c>
      <c r="B11" s="5" t="s">
        <v>45</v>
      </c>
      <c r="C11" s="5" t="s">
        <v>46</v>
      </c>
    </row>
    <row r="12" customFormat="false" ht="15" hidden="false" customHeight="false" outlineLevel="0" collapsed="false">
      <c r="A12" s="5" t="s">
        <v>47</v>
      </c>
      <c r="B12" s="5" t="s">
        <v>48</v>
      </c>
      <c r="C12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42"/>
    <col collapsed="false" customWidth="true" hidden="false" outlineLevel="0" max="9" min="9" style="0" width="38"/>
    <col collapsed="false" customWidth="true" hidden="false" outlineLevel="0" max="10" min="10" style="0" width="26"/>
    <col collapsed="false" customWidth="true" hidden="false" outlineLevel="0" max="12" min="11" style="0" width="14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4" t="s">
        <v>50</v>
      </c>
      <c r="B1" s="4" t="s">
        <v>14</v>
      </c>
      <c r="C1" s="4" t="s">
        <v>15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</row>
    <row r="2" customFormat="false" ht="57.45" hidden="false" customHeight="false" outlineLevel="0" collapsed="false">
      <c r="A2" s="5" t="s">
        <v>61</v>
      </c>
      <c r="B2" s="5" t="s">
        <v>17</v>
      </c>
      <c r="C2" s="5" t="s">
        <v>18</v>
      </c>
      <c r="D2" s="5" t="s">
        <v>62</v>
      </c>
      <c r="E2" s="5" t="s">
        <v>63</v>
      </c>
      <c r="F2" s="5" t="s">
        <v>64</v>
      </c>
      <c r="G2" s="5" t="s">
        <v>65</v>
      </c>
      <c r="H2" s="5" t="s">
        <v>66</v>
      </c>
      <c r="I2" s="5" t="s">
        <v>67</v>
      </c>
      <c r="J2" s="5"/>
      <c r="K2" s="5" t="s">
        <v>68</v>
      </c>
      <c r="L2" s="5"/>
      <c r="M2" s="5"/>
    </row>
    <row r="3" customFormat="false" ht="46.25" hidden="false" customHeight="false" outlineLevel="0" collapsed="false">
      <c r="A3" s="5" t="s">
        <v>69</v>
      </c>
      <c r="B3" s="5" t="s">
        <v>17</v>
      </c>
      <c r="C3" s="5" t="s">
        <v>18</v>
      </c>
      <c r="D3" s="5" t="s">
        <v>62</v>
      </c>
      <c r="E3" s="5" t="s">
        <v>63</v>
      </c>
      <c r="F3" s="5" t="s">
        <v>70</v>
      </c>
      <c r="G3" s="5" t="s">
        <v>71</v>
      </c>
      <c r="H3" s="5" t="s">
        <v>72</v>
      </c>
      <c r="I3" s="5" t="s">
        <v>73</v>
      </c>
      <c r="J3" s="5"/>
      <c r="K3" s="5" t="s">
        <v>68</v>
      </c>
      <c r="L3" s="5"/>
      <c r="M3" s="5"/>
    </row>
    <row r="4" customFormat="false" ht="35.05" hidden="false" customHeight="false" outlineLevel="0" collapsed="false">
      <c r="A4" s="5" t="s">
        <v>74</v>
      </c>
      <c r="B4" s="5" t="s">
        <v>17</v>
      </c>
      <c r="C4" s="5" t="s">
        <v>18</v>
      </c>
      <c r="D4" s="5" t="s">
        <v>62</v>
      </c>
      <c r="E4" s="5" t="s">
        <v>75</v>
      </c>
      <c r="F4" s="5" t="s">
        <v>76</v>
      </c>
      <c r="G4" s="5" t="s">
        <v>77</v>
      </c>
      <c r="H4" s="5" t="s">
        <v>78</v>
      </c>
      <c r="I4" s="5" t="s">
        <v>79</v>
      </c>
      <c r="J4" s="5"/>
      <c r="K4" s="5" t="s">
        <v>68</v>
      </c>
      <c r="L4" s="5"/>
      <c r="M4" s="5"/>
    </row>
    <row r="5" customFormat="false" ht="35.05" hidden="false" customHeight="false" outlineLevel="0" collapsed="false">
      <c r="A5" s="5" t="s">
        <v>80</v>
      </c>
      <c r="B5" s="5" t="s">
        <v>17</v>
      </c>
      <c r="C5" s="5" t="s">
        <v>18</v>
      </c>
      <c r="D5" s="5" t="s">
        <v>62</v>
      </c>
      <c r="E5" s="5" t="s">
        <v>75</v>
      </c>
      <c r="F5" s="5" t="s">
        <v>81</v>
      </c>
      <c r="G5" s="5" t="s">
        <v>77</v>
      </c>
      <c r="H5" s="5" t="s">
        <v>82</v>
      </c>
      <c r="I5" s="5" t="s">
        <v>83</v>
      </c>
      <c r="J5" s="5"/>
      <c r="K5" s="5" t="s">
        <v>68</v>
      </c>
      <c r="L5" s="5"/>
      <c r="M5" s="5"/>
    </row>
    <row r="6" customFormat="false" ht="35.05" hidden="false" customHeight="false" outlineLevel="0" collapsed="false">
      <c r="A6" s="5" t="s">
        <v>84</v>
      </c>
      <c r="B6" s="5" t="s">
        <v>17</v>
      </c>
      <c r="C6" s="5" t="s">
        <v>18</v>
      </c>
      <c r="D6" s="5" t="s">
        <v>62</v>
      </c>
      <c r="E6" s="5" t="s">
        <v>85</v>
      </c>
      <c r="F6" s="5" t="s">
        <v>86</v>
      </c>
      <c r="G6" s="5" t="s">
        <v>77</v>
      </c>
      <c r="H6" s="5" t="s">
        <v>87</v>
      </c>
      <c r="I6" s="5" t="s">
        <v>88</v>
      </c>
      <c r="J6" s="5"/>
      <c r="K6" s="5" t="s">
        <v>68</v>
      </c>
      <c r="L6" s="5"/>
      <c r="M6" s="5"/>
    </row>
    <row r="7" customFormat="false" ht="35.05" hidden="false" customHeight="false" outlineLevel="0" collapsed="false">
      <c r="A7" s="5" t="s">
        <v>89</v>
      </c>
      <c r="B7" s="5" t="s">
        <v>20</v>
      </c>
      <c r="C7" s="5" t="s">
        <v>21</v>
      </c>
      <c r="D7" s="5" t="s">
        <v>62</v>
      </c>
      <c r="E7" s="5" t="s">
        <v>63</v>
      </c>
      <c r="F7" s="5" t="s">
        <v>90</v>
      </c>
      <c r="G7" s="5" t="s">
        <v>91</v>
      </c>
      <c r="H7" s="5" t="s">
        <v>92</v>
      </c>
      <c r="I7" s="5" t="s">
        <v>93</v>
      </c>
      <c r="J7" s="5"/>
      <c r="K7" s="5" t="s">
        <v>68</v>
      </c>
      <c r="L7" s="5"/>
      <c r="M7" s="5"/>
    </row>
    <row r="8" customFormat="false" ht="35.05" hidden="false" customHeight="false" outlineLevel="0" collapsed="false">
      <c r="A8" s="5" t="s">
        <v>94</v>
      </c>
      <c r="B8" s="5" t="s">
        <v>20</v>
      </c>
      <c r="C8" s="5" t="s">
        <v>21</v>
      </c>
      <c r="D8" s="5" t="s">
        <v>62</v>
      </c>
      <c r="E8" s="5" t="s">
        <v>63</v>
      </c>
      <c r="F8" s="5" t="s">
        <v>95</v>
      </c>
      <c r="G8" s="5" t="s">
        <v>91</v>
      </c>
      <c r="H8" s="5" t="s">
        <v>96</v>
      </c>
      <c r="I8" s="5" t="s">
        <v>97</v>
      </c>
      <c r="J8" s="5"/>
      <c r="K8" s="5" t="s">
        <v>68</v>
      </c>
      <c r="L8" s="5"/>
      <c r="M8" s="5"/>
    </row>
    <row r="9" customFormat="false" ht="35.05" hidden="false" customHeight="false" outlineLevel="0" collapsed="false">
      <c r="A9" s="5" t="s">
        <v>98</v>
      </c>
      <c r="B9" s="5" t="s">
        <v>20</v>
      </c>
      <c r="C9" s="5" t="s">
        <v>21</v>
      </c>
      <c r="D9" s="5" t="s">
        <v>62</v>
      </c>
      <c r="E9" s="5" t="s">
        <v>75</v>
      </c>
      <c r="F9" s="5" t="s">
        <v>99</v>
      </c>
      <c r="G9" s="5" t="s">
        <v>100</v>
      </c>
      <c r="H9" s="5" t="s">
        <v>101</v>
      </c>
      <c r="I9" s="5" t="s">
        <v>97</v>
      </c>
      <c r="J9" s="5"/>
      <c r="K9" s="5" t="s">
        <v>68</v>
      </c>
      <c r="L9" s="5"/>
      <c r="M9" s="5"/>
    </row>
    <row r="10" customFormat="false" ht="23.85" hidden="false" customHeight="false" outlineLevel="0" collapsed="false">
      <c r="A10" s="5" t="s">
        <v>102</v>
      </c>
      <c r="B10" s="5" t="s">
        <v>20</v>
      </c>
      <c r="C10" s="5" t="s">
        <v>21</v>
      </c>
      <c r="D10" s="5" t="s">
        <v>62</v>
      </c>
      <c r="E10" s="5" t="s">
        <v>85</v>
      </c>
      <c r="F10" s="5" t="s">
        <v>103</v>
      </c>
      <c r="G10" s="5" t="s">
        <v>100</v>
      </c>
      <c r="H10" s="5" t="s">
        <v>104</v>
      </c>
      <c r="I10" s="5" t="s">
        <v>105</v>
      </c>
      <c r="J10" s="5"/>
      <c r="K10" s="5" t="s">
        <v>68</v>
      </c>
      <c r="L10" s="5"/>
      <c r="M10" s="5"/>
    </row>
    <row r="11" customFormat="false" ht="35.05" hidden="false" customHeight="false" outlineLevel="0" collapsed="false">
      <c r="A11" s="5" t="s">
        <v>106</v>
      </c>
      <c r="B11" s="5" t="s">
        <v>23</v>
      </c>
      <c r="C11" s="5" t="s">
        <v>24</v>
      </c>
      <c r="D11" s="5" t="s">
        <v>62</v>
      </c>
      <c r="E11" s="5" t="s">
        <v>63</v>
      </c>
      <c r="F11" s="5" t="s">
        <v>107</v>
      </c>
      <c r="G11" s="5" t="s">
        <v>108</v>
      </c>
      <c r="H11" s="5" t="s">
        <v>109</v>
      </c>
      <c r="I11" s="5" t="s">
        <v>110</v>
      </c>
      <c r="J11" s="5"/>
      <c r="K11" s="5" t="s">
        <v>68</v>
      </c>
      <c r="L11" s="5"/>
      <c r="M11" s="5"/>
    </row>
    <row r="12" customFormat="false" ht="35.05" hidden="false" customHeight="false" outlineLevel="0" collapsed="false">
      <c r="A12" s="5" t="s">
        <v>111</v>
      </c>
      <c r="B12" s="5" t="s">
        <v>23</v>
      </c>
      <c r="C12" s="5" t="s">
        <v>24</v>
      </c>
      <c r="D12" s="5" t="s">
        <v>62</v>
      </c>
      <c r="E12" s="5" t="s">
        <v>75</v>
      </c>
      <c r="F12" s="5" t="s">
        <v>112</v>
      </c>
      <c r="G12" s="5" t="s">
        <v>108</v>
      </c>
      <c r="H12" s="5" t="s">
        <v>113</v>
      </c>
      <c r="I12" s="5" t="s">
        <v>114</v>
      </c>
      <c r="J12" s="5"/>
      <c r="K12" s="5" t="s">
        <v>68</v>
      </c>
      <c r="L12" s="5"/>
      <c r="M12" s="5"/>
    </row>
    <row r="13" customFormat="false" ht="35.05" hidden="false" customHeight="false" outlineLevel="0" collapsed="false">
      <c r="A13" s="5" t="s">
        <v>115</v>
      </c>
      <c r="B13" s="5" t="s">
        <v>23</v>
      </c>
      <c r="C13" s="5" t="s">
        <v>24</v>
      </c>
      <c r="D13" s="5" t="s">
        <v>62</v>
      </c>
      <c r="E13" s="5" t="s">
        <v>75</v>
      </c>
      <c r="F13" s="5" t="s">
        <v>116</v>
      </c>
      <c r="G13" s="5" t="s">
        <v>108</v>
      </c>
      <c r="H13" s="5" t="s">
        <v>117</v>
      </c>
      <c r="I13" s="5" t="s">
        <v>118</v>
      </c>
      <c r="J13" s="5"/>
      <c r="K13" s="5" t="s">
        <v>68</v>
      </c>
      <c r="L13" s="5"/>
      <c r="M13" s="5"/>
    </row>
    <row r="14" customFormat="false" ht="23.85" hidden="false" customHeight="false" outlineLevel="0" collapsed="false">
      <c r="A14" s="5" t="s">
        <v>119</v>
      </c>
      <c r="B14" s="5" t="s">
        <v>23</v>
      </c>
      <c r="C14" s="5" t="s">
        <v>24</v>
      </c>
      <c r="D14" s="5" t="s">
        <v>62</v>
      </c>
      <c r="E14" s="5" t="s">
        <v>85</v>
      </c>
      <c r="F14" s="5" t="s">
        <v>120</v>
      </c>
      <c r="G14" s="5" t="s">
        <v>121</v>
      </c>
      <c r="H14" s="5" t="s">
        <v>122</v>
      </c>
      <c r="I14" s="5" t="s">
        <v>123</v>
      </c>
      <c r="J14" s="5"/>
      <c r="K14" s="5" t="s">
        <v>68</v>
      </c>
      <c r="L14" s="5"/>
      <c r="M14" s="5"/>
    </row>
    <row r="15" customFormat="false" ht="23.85" hidden="false" customHeight="false" outlineLevel="0" collapsed="false">
      <c r="A15" s="5" t="s">
        <v>124</v>
      </c>
      <c r="B15" s="5" t="s">
        <v>23</v>
      </c>
      <c r="C15" s="5" t="s">
        <v>24</v>
      </c>
      <c r="D15" s="5" t="s">
        <v>62</v>
      </c>
      <c r="E15" s="5" t="s">
        <v>85</v>
      </c>
      <c r="F15" s="5" t="s">
        <v>125</v>
      </c>
      <c r="G15" s="5" t="s">
        <v>108</v>
      </c>
      <c r="H15" s="5" t="s">
        <v>126</v>
      </c>
      <c r="I15" s="5" t="s">
        <v>127</v>
      </c>
      <c r="J15" s="5"/>
      <c r="K15" s="5" t="s">
        <v>68</v>
      </c>
      <c r="L15" s="5"/>
      <c r="M15" s="5"/>
    </row>
    <row r="16" customFormat="false" ht="23.85" hidden="false" customHeight="false" outlineLevel="0" collapsed="false">
      <c r="A16" s="5" t="s">
        <v>128</v>
      </c>
      <c r="B16" s="5" t="s">
        <v>26</v>
      </c>
      <c r="C16" s="5" t="s">
        <v>27</v>
      </c>
      <c r="D16" s="5" t="s">
        <v>62</v>
      </c>
      <c r="E16" s="5" t="s">
        <v>75</v>
      </c>
      <c r="F16" s="5" t="s">
        <v>129</v>
      </c>
      <c r="G16" s="5" t="s">
        <v>130</v>
      </c>
      <c r="H16" s="5" t="s">
        <v>131</v>
      </c>
      <c r="I16" s="5" t="s">
        <v>132</v>
      </c>
      <c r="J16" s="5"/>
      <c r="K16" s="5" t="s">
        <v>68</v>
      </c>
      <c r="L16" s="5"/>
      <c r="M16" s="5"/>
    </row>
    <row r="17" customFormat="false" ht="23.85" hidden="false" customHeight="false" outlineLevel="0" collapsed="false">
      <c r="A17" s="5" t="s">
        <v>133</v>
      </c>
      <c r="B17" s="5" t="s">
        <v>26</v>
      </c>
      <c r="C17" s="5" t="s">
        <v>27</v>
      </c>
      <c r="D17" s="5" t="s">
        <v>62</v>
      </c>
      <c r="E17" s="5" t="s">
        <v>85</v>
      </c>
      <c r="F17" s="5" t="s">
        <v>134</v>
      </c>
      <c r="G17" s="5" t="s">
        <v>135</v>
      </c>
      <c r="H17" s="5" t="s">
        <v>136</v>
      </c>
      <c r="I17" s="5" t="s">
        <v>137</v>
      </c>
      <c r="J17" s="5"/>
      <c r="K17" s="5" t="s">
        <v>68</v>
      </c>
      <c r="L17" s="5"/>
      <c r="M17" s="5"/>
    </row>
    <row r="18" customFormat="false" ht="23.85" hidden="false" customHeight="false" outlineLevel="0" collapsed="false">
      <c r="A18" s="5" t="s">
        <v>138</v>
      </c>
      <c r="B18" s="5" t="s">
        <v>29</v>
      </c>
      <c r="C18" s="5" t="s">
        <v>30</v>
      </c>
      <c r="D18" s="5" t="s">
        <v>62</v>
      </c>
      <c r="E18" s="5" t="s">
        <v>63</v>
      </c>
      <c r="F18" s="5" t="s">
        <v>139</v>
      </c>
      <c r="G18" s="5" t="s">
        <v>140</v>
      </c>
      <c r="H18" s="5" t="s">
        <v>141</v>
      </c>
      <c r="I18" s="5" t="s">
        <v>142</v>
      </c>
      <c r="J18" s="5"/>
      <c r="K18" s="5" t="s">
        <v>68</v>
      </c>
      <c r="L18" s="5"/>
      <c r="M18" s="5"/>
    </row>
    <row r="19" customFormat="false" ht="35.05" hidden="false" customHeight="false" outlineLevel="0" collapsed="false">
      <c r="A19" s="5" t="s">
        <v>143</v>
      </c>
      <c r="B19" s="5" t="s">
        <v>29</v>
      </c>
      <c r="C19" s="5" t="s">
        <v>30</v>
      </c>
      <c r="D19" s="5" t="s">
        <v>62</v>
      </c>
      <c r="E19" s="5" t="s">
        <v>63</v>
      </c>
      <c r="F19" s="5" t="s">
        <v>144</v>
      </c>
      <c r="G19" s="5" t="s">
        <v>145</v>
      </c>
      <c r="H19" s="5" t="s">
        <v>146</v>
      </c>
      <c r="I19" s="5" t="s">
        <v>147</v>
      </c>
      <c r="J19" s="5"/>
      <c r="K19" s="5" t="s">
        <v>68</v>
      </c>
      <c r="L19" s="5"/>
      <c r="M19" s="5"/>
    </row>
    <row r="20" customFormat="false" ht="35.05" hidden="false" customHeight="false" outlineLevel="0" collapsed="false">
      <c r="A20" s="5" t="s">
        <v>148</v>
      </c>
      <c r="B20" s="5" t="s">
        <v>29</v>
      </c>
      <c r="C20" s="5" t="s">
        <v>30</v>
      </c>
      <c r="D20" s="5" t="s">
        <v>62</v>
      </c>
      <c r="E20" s="5" t="s">
        <v>63</v>
      </c>
      <c r="F20" s="5" t="s">
        <v>149</v>
      </c>
      <c r="G20" s="5" t="s">
        <v>150</v>
      </c>
      <c r="H20" s="5" t="s">
        <v>151</v>
      </c>
      <c r="I20" s="5" t="s">
        <v>152</v>
      </c>
      <c r="J20" s="5"/>
      <c r="K20" s="5" t="s">
        <v>68</v>
      </c>
      <c r="L20" s="5"/>
      <c r="M20" s="5"/>
    </row>
    <row r="21" customFormat="false" ht="23.85" hidden="false" customHeight="false" outlineLevel="0" collapsed="false">
      <c r="A21" s="5" t="s">
        <v>153</v>
      </c>
      <c r="B21" s="5" t="s">
        <v>29</v>
      </c>
      <c r="C21" s="5" t="s">
        <v>30</v>
      </c>
      <c r="D21" s="5" t="s">
        <v>62</v>
      </c>
      <c r="E21" s="5" t="s">
        <v>75</v>
      </c>
      <c r="F21" s="5" t="s">
        <v>154</v>
      </c>
      <c r="G21" s="5" t="s">
        <v>140</v>
      </c>
      <c r="H21" s="5" t="s">
        <v>155</v>
      </c>
      <c r="I21" s="5" t="s">
        <v>156</v>
      </c>
      <c r="J21" s="5"/>
      <c r="K21" s="5" t="s">
        <v>68</v>
      </c>
      <c r="L21" s="5"/>
      <c r="M21" s="5"/>
    </row>
    <row r="22" customFormat="false" ht="35.05" hidden="false" customHeight="false" outlineLevel="0" collapsed="false">
      <c r="A22" s="5" t="s">
        <v>157</v>
      </c>
      <c r="B22" s="5" t="s">
        <v>29</v>
      </c>
      <c r="C22" s="5" t="s">
        <v>30</v>
      </c>
      <c r="D22" s="5" t="s">
        <v>62</v>
      </c>
      <c r="E22" s="5" t="s">
        <v>75</v>
      </c>
      <c r="F22" s="5" t="s">
        <v>158</v>
      </c>
      <c r="G22" s="5" t="s">
        <v>150</v>
      </c>
      <c r="H22" s="5" t="s">
        <v>159</v>
      </c>
      <c r="I22" s="5" t="s">
        <v>160</v>
      </c>
      <c r="J22" s="5"/>
      <c r="K22" s="5" t="s">
        <v>68</v>
      </c>
      <c r="L22" s="5"/>
      <c r="M22" s="5"/>
    </row>
    <row r="23" customFormat="false" ht="46.25" hidden="false" customHeight="false" outlineLevel="0" collapsed="false">
      <c r="A23" s="5" t="s">
        <v>161</v>
      </c>
      <c r="B23" s="5" t="s">
        <v>32</v>
      </c>
      <c r="C23" s="5" t="s">
        <v>33</v>
      </c>
      <c r="D23" s="5" t="s">
        <v>62</v>
      </c>
      <c r="E23" s="5" t="s">
        <v>63</v>
      </c>
      <c r="F23" s="5" t="s">
        <v>162</v>
      </c>
      <c r="G23" s="5" t="s">
        <v>163</v>
      </c>
      <c r="H23" s="5" t="s">
        <v>164</v>
      </c>
      <c r="I23" s="5" t="s">
        <v>165</v>
      </c>
      <c r="J23" s="5"/>
      <c r="K23" s="5" t="s">
        <v>68</v>
      </c>
      <c r="L23" s="5"/>
      <c r="M23" s="5"/>
    </row>
    <row r="24" customFormat="false" ht="23.85" hidden="false" customHeight="false" outlineLevel="0" collapsed="false">
      <c r="A24" s="5" t="s">
        <v>166</v>
      </c>
      <c r="B24" s="5" t="s">
        <v>32</v>
      </c>
      <c r="C24" s="5" t="s">
        <v>33</v>
      </c>
      <c r="D24" s="5" t="s">
        <v>62</v>
      </c>
      <c r="E24" s="5" t="s">
        <v>75</v>
      </c>
      <c r="F24" s="5" t="s">
        <v>167</v>
      </c>
      <c r="G24" s="5" t="s">
        <v>168</v>
      </c>
      <c r="H24" s="5" t="s">
        <v>169</v>
      </c>
      <c r="I24" s="5" t="s">
        <v>170</v>
      </c>
      <c r="J24" s="5"/>
      <c r="K24" s="5" t="s">
        <v>68</v>
      </c>
      <c r="L24" s="5"/>
      <c r="M24" s="5"/>
    </row>
    <row r="25" customFormat="false" ht="23.85" hidden="false" customHeight="false" outlineLevel="0" collapsed="false">
      <c r="A25" s="5" t="s">
        <v>171</v>
      </c>
      <c r="B25" s="5" t="s">
        <v>32</v>
      </c>
      <c r="C25" s="5" t="s">
        <v>33</v>
      </c>
      <c r="D25" s="5" t="s">
        <v>62</v>
      </c>
      <c r="E25" s="5" t="s">
        <v>85</v>
      </c>
      <c r="F25" s="5" t="s">
        <v>172</v>
      </c>
      <c r="G25" s="5" t="s">
        <v>173</v>
      </c>
      <c r="H25" s="5" t="s">
        <v>174</v>
      </c>
      <c r="I25" s="5" t="s">
        <v>175</v>
      </c>
      <c r="J25" s="5"/>
      <c r="K25" s="5" t="s">
        <v>68</v>
      </c>
      <c r="L25" s="5"/>
      <c r="M25" s="5"/>
    </row>
    <row r="26" customFormat="false" ht="68.65" hidden="false" customHeight="false" outlineLevel="0" collapsed="false">
      <c r="A26" s="5" t="s">
        <v>176</v>
      </c>
      <c r="B26" s="5" t="s">
        <v>35</v>
      </c>
      <c r="C26" s="5" t="s">
        <v>36</v>
      </c>
      <c r="D26" s="5" t="s">
        <v>62</v>
      </c>
      <c r="E26" s="5" t="s">
        <v>63</v>
      </c>
      <c r="F26" s="5" t="s">
        <v>177</v>
      </c>
      <c r="G26" s="5" t="s">
        <v>178</v>
      </c>
      <c r="H26" s="5" t="s">
        <v>179</v>
      </c>
      <c r="I26" s="5" t="s">
        <v>180</v>
      </c>
      <c r="J26" s="5"/>
      <c r="K26" s="5" t="s">
        <v>68</v>
      </c>
      <c r="L26" s="5"/>
      <c r="M26" s="5"/>
    </row>
    <row r="27" customFormat="false" ht="46.25" hidden="false" customHeight="false" outlineLevel="0" collapsed="false">
      <c r="A27" s="5" t="s">
        <v>181</v>
      </c>
      <c r="B27" s="5" t="s">
        <v>35</v>
      </c>
      <c r="C27" s="5" t="s">
        <v>36</v>
      </c>
      <c r="D27" s="5" t="s">
        <v>62</v>
      </c>
      <c r="E27" s="5" t="s">
        <v>63</v>
      </c>
      <c r="F27" s="5" t="s">
        <v>182</v>
      </c>
      <c r="G27" s="5" t="s">
        <v>183</v>
      </c>
      <c r="H27" s="5" t="s">
        <v>184</v>
      </c>
      <c r="I27" s="5" t="s">
        <v>185</v>
      </c>
      <c r="J27" s="5"/>
      <c r="K27" s="5" t="s">
        <v>68</v>
      </c>
      <c r="L27" s="5"/>
      <c r="M27" s="5"/>
    </row>
    <row r="28" customFormat="false" ht="23.85" hidden="false" customHeight="false" outlineLevel="0" collapsed="false">
      <c r="A28" s="5" t="s">
        <v>186</v>
      </c>
      <c r="B28" s="5" t="s">
        <v>35</v>
      </c>
      <c r="C28" s="5" t="s">
        <v>36</v>
      </c>
      <c r="D28" s="5" t="s">
        <v>62</v>
      </c>
      <c r="E28" s="5" t="s">
        <v>75</v>
      </c>
      <c r="F28" s="5" t="s">
        <v>187</v>
      </c>
      <c r="G28" s="5" t="s">
        <v>188</v>
      </c>
      <c r="H28" s="5" t="s">
        <v>189</v>
      </c>
      <c r="I28" s="5" t="s">
        <v>190</v>
      </c>
      <c r="J28" s="5"/>
      <c r="K28" s="5" t="s">
        <v>68</v>
      </c>
      <c r="L28" s="5"/>
      <c r="M28" s="5"/>
    </row>
    <row r="29" customFormat="false" ht="35.05" hidden="false" customHeight="false" outlineLevel="0" collapsed="false">
      <c r="A29" s="5" t="s">
        <v>191</v>
      </c>
      <c r="B29" s="5" t="s">
        <v>35</v>
      </c>
      <c r="C29" s="5" t="s">
        <v>36</v>
      </c>
      <c r="D29" s="5" t="s">
        <v>62</v>
      </c>
      <c r="E29" s="5" t="s">
        <v>75</v>
      </c>
      <c r="F29" s="5" t="s">
        <v>192</v>
      </c>
      <c r="G29" s="5" t="s">
        <v>193</v>
      </c>
      <c r="H29" s="5" t="s">
        <v>194</v>
      </c>
      <c r="I29" s="5" t="s">
        <v>195</v>
      </c>
      <c r="J29" s="5"/>
      <c r="K29" s="5" t="s">
        <v>68</v>
      </c>
      <c r="L29" s="5"/>
      <c r="M29" s="5"/>
    </row>
    <row r="30" customFormat="false" ht="23.85" hidden="false" customHeight="false" outlineLevel="0" collapsed="false">
      <c r="A30" s="5" t="s">
        <v>196</v>
      </c>
      <c r="B30" s="5" t="s">
        <v>38</v>
      </c>
      <c r="C30" s="5" t="s">
        <v>39</v>
      </c>
      <c r="D30" s="5" t="s">
        <v>62</v>
      </c>
      <c r="E30" s="5" t="s">
        <v>63</v>
      </c>
      <c r="F30" s="5" t="s">
        <v>197</v>
      </c>
      <c r="G30" s="5" t="s">
        <v>198</v>
      </c>
      <c r="H30" s="5" t="s">
        <v>199</v>
      </c>
      <c r="I30" s="5" t="s">
        <v>200</v>
      </c>
      <c r="J30" s="5"/>
      <c r="K30" s="5" t="s">
        <v>68</v>
      </c>
      <c r="L30" s="5"/>
      <c r="M30" s="5"/>
    </row>
    <row r="31" customFormat="false" ht="35.05" hidden="false" customHeight="false" outlineLevel="0" collapsed="false">
      <c r="A31" s="5" t="s">
        <v>201</v>
      </c>
      <c r="B31" s="5" t="s">
        <v>41</v>
      </c>
      <c r="C31" s="5" t="s">
        <v>202</v>
      </c>
      <c r="D31" s="5" t="s">
        <v>62</v>
      </c>
      <c r="E31" s="5" t="s">
        <v>63</v>
      </c>
      <c r="F31" s="5" t="s">
        <v>203</v>
      </c>
      <c r="G31" s="5" t="s">
        <v>204</v>
      </c>
      <c r="H31" s="5" t="s">
        <v>205</v>
      </c>
      <c r="I31" s="5" t="s">
        <v>206</v>
      </c>
      <c r="J31" s="5"/>
      <c r="K31" s="5" t="s">
        <v>68</v>
      </c>
      <c r="L31" s="5"/>
      <c r="M31" s="5"/>
    </row>
    <row r="32" customFormat="false" ht="46.25" hidden="false" customHeight="false" outlineLevel="0" collapsed="false">
      <c r="A32" s="5" t="s">
        <v>207</v>
      </c>
      <c r="B32" s="5" t="s">
        <v>41</v>
      </c>
      <c r="C32" s="5" t="s">
        <v>202</v>
      </c>
      <c r="D32" s="5" t="s">
        <v>62</v>
      </c>
      <c r="E32" s="5" t="s">
        <v>63</v>
      </c>
      <c r="F32" s="5" t="s">
        <v>208</v>
      </c>
      <c r="G32" s="5" t="s">
        <v>209</v>
      </c>
      <c r="H32" s="5" t="s">
        <v>210</v>
      </c>
      <c r="I32" s="5" t="s">
        <v>211</v>
      </c>
      <c r="J32" s="5"/>
      <c r="K32" s="5" t="s">
        <v>68</v>
      </c>
      <c r="L32" s="5"/>
      <c r="M32" s="5"/>
    </row>
    <row r="33" customFormat="false" ht="35.05" hidden="false" customHeight="false" outlineLevel="0" collapsed="false">
      <c r="A33" s="5" t="s">
        <v>212</v>
      </c>
      <c r="B33" s="5" t="s">
        <v>44</v>
      </c>
      <c r="C33" s="5" t="s">
        <v>213</v>
      </c>
      <c r="D33" s="5" t="s">
        <v>62</v>
      </c>
      <c r="E33" s="5" t="s">
        <v>75</v>
      </c>
      <c r="F33" s="5" t="s">
        <v>214</v>
      </c>
      <c r="G33" s="5" t="s">
        <v>215</v>
      </c>
      <c r="H33" s="5" t="s">
        <v>216</v>
      </c>
      <c r="I33" s="5" t="s">
        <v>217</v>
      </c>
      <c r="J33" s="5"/>
      <c r="K33" s="5" t="s">
        <v>68</v>
      </c>
      <c r="L33" s="5"/>
      <c r="M33" s="5"/>
    </row>
    <row r="34" customFormat="false" ht="35.05" hidden="false" customHeight="false" outlineLevel="0" collapsed="false">
      <c r="A34" s="5" t="s">
        <v>218</v>
      </c>
      <c r="B34" s="5" t="s">
        <v>44</v>
      </c>
      <c r="C34" s="5" t="s">
        <v>213</v>
      </c>
      <c r="D34" s="5" t="s">
        <v>62</v>
      </c>
      <c r="E34" s="5" t="s">
        <v>75</v>
      </c>
      <c r="F34" s="5" t="s">
        <v>219</v>
      </c>
      <c r="G34" s="5" t="s">
        <v>130</v>
      </c>
      <c r="H34" s="5" t="s">
        <v>220</v>
      </c>
      <c r="I34" s="5" t="s">
        <v>221</v>
      </c>
      <c r="J34" s="5"/>
      <c r="K34" s="5" t="s">
        <v>68</v>
      </c>
      <c r="L34" s="5"/>
      <c r="M34" s="5"/>
    </row>
    <row r="35" customFormat="false" ht="35.05" hidden="false" customHeight="false" outlineLevel="0" collapsed="false">
      <c r="A35" s="5" t="s">
        <v>222</v>
      </c>
      <c r="B35" s="5" t="s">
        <v>47</v>
      </c>
      <c r="C35" s="5" t="s">
        <v>48</v>
      </c>
      <c r="D35" s="5" t="s">
        <v>223</v>
      </c>
      <c r="E35" s="5" t="s">
        <v>63</v>
      </c>
      <c r="F35" s="5" t="s">
        <v>224</v>
      </c>
      <c r="G35" s="5" t="s">
        <v>225</v>
      </c>
      <c r="H35" s="5" t="s">
        <v>226</v>
      </c>
      <c r="I35" s="5" t="s">
        <v>227</v>
      </c>
      <c r="J35" s="5"/>
      <c r="K35" s="5" t="s">
        <v>68</v>
      </c>
      <c r="L35" s="5"/>
      <c r="M35" s="5"/>
    </row>
    <row r="36" customFormat="false" ht="46.25" hidden="false" customHeight="false" outlineLevel="0" collapsed="false">
      <c r="A36" s="5" t="s">
        <v>228</v>
      </c>
      <c r="B36" s="5" t="s">
        <v>47</v>
      </c>
      <c r="C36" s="5" t="s">
        <v>48</v>
      </c>
      <c r="D36" s="5" t="s">
        <v>223</v>
      </c>
      <c r="E36" s="5" t="s">
        <v>63</v>
      </c>
      <c r="F36" s="5" t="s">
        <v>229</v>
      </c>
      <c r="G36" s="5" t="s">
        <v>230</v>
      </c>
      <c r="H36" s="5" t="s">
        <v>231</v>
      </c>
      <c r="I36" s="5" t="s">
        <v>232</v>
      </c>
      <c r="J36" s="5"/>
      <c r="K36" s="5" t="s">
        <v>68</v>
      </c>
      <c r="L36" s="5"/>
      <c r="M36" s="5"/>
    </row>
    <row r="37" customFormat="false" ht="35.05" hidden="false" customHeight="false" outlineLevel="0" collapsed="false">
      <c r="A37" s="5" t="s">
        <v>233</v>
      </c>
      <c r="B37" s="5" t="s">
        <v>47</v>
      </c>
      <c r="C37" s="5" t="s">
        <v>48</v>
      </c>
      <c r="D37" s="5" t="s">
        <v>223</v>
      </c>
      <c r="E37" s="5" t="s">
        <v>75</v>
      </c>
      <c r="F37" s="5" t="s">
        <v>234</v>
      </c>
      <c r="G37" s="5" t="s">
        <v>235</v>
      </c>
      <c r="H37" s="5" t="s">
        <v>236</v>
      </c>
      <c r="I37" s="5" t="s">
        <v>237</v>
      </c>
      <c r="J37" s="5"/>
      <c r="K37" s="5" t="s">
        <v>68</v>
      </c>
      <c r="L37" s="5"/>
      <c r="M37" s="5"/>
    </row>
  </sheetData>
  <conditionalFormatting sqref="K2:K3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</conditionalFormatting>
  <dataValidations count="1">
    <dataValidation allowBlank="false" errorStyle="stop" operator="between" showDropDown="false" showErrorMessage="false" showInputMessage="false" sqref="K2:K37" type="list">
      <formula1>"Pass,Fail,Blocked,Not Executed"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5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4" t="s">
        <v>14</v>
      </c>
      <c r="B1" s="4" t="s">
        <v>238</v>
      </c>
      <c r="C1" s="4" t="s">
        <v>239</v>
      </c>
    </row>
    <row r="2" customFormat="false" ht="23.85" hidden="false" customHeight="false" outlineLevel="0" collapsed="false">
      <c r="A2" s="5" t="s">
        <v>17</v>
      </c>
      <c r="B2" s="5" t="s">
        <v>19</v>
      </c>
      <c r="C2" s="5" t="s">
        <v>240</v>
      </c>
    </row>
    <row r="3" customFormat="false" ht="23.85" hidden="false" customHeight="false" outlineLevel="0" collapsed="false">
      <c r="A3" s="5" t="s">
        <v>20</v>
      </c>
      <c r="B3" s="5" t="s">
        <v>22</v>
      </c>
      <c r="C3" s="5" t="s">
        <v>241</v>
      </c>
    </row>
    <row r="4" customFormat="false" ht="23.85" hidden="false" customHeight="false" outlineLevel="0" collapsed="false">
      <c r="A4" s="5" t="s">
        <v>23</v>
      </c>
      <c r="B4" s="5" t="s">
        <v>25</v>
      </c>
      <c r="C4" s="5" t="s">
        <v>242</v>
      </c>
    </row>
    <row r="5" customFormat="false" ht="15" hidden="false" customHeight="false" outlineLevel="0" collapsed="false">
      <c r="A5" s="5" t="s">
        <v>26</v>
      </c>
      <c r="B5" s="5" t="s">
        <v>28</v>
      </c>
      <c r="C5" s="5" t="s">
        <v>243</v>
      </c>
    </row>
    <row r="6" customFormat="false" ht="23.85" hidden="false" customHeight="false" outlineLevel="0" collapsed="false">
      <c r="A6" s="5" t="s">
        <v>29</v>
      </c>
      <c r="B6" s="5" t="s">
        <v>31</v>
      </c>
      <c r="C6" s="5" t="s">
        <v>244</v>
      </c>
    </row>
    <row r="7" customFormat="false" ht="23.85" hidden="false" customHeight="false" outlineLevel="0" collapsed="false">
      <c r="A7" s="5" t="s">
        <v>32</v>
      </c>
      <c r="B7" s="5" t="s">
        <v>34</v>
      </c>
      <c r="C7" s="5" t="s">
        <v>245</v>
      </c>
    </row>
    <row r="8" customFormat="false" ht="23.85" hidden="false" customHeight="false" outlineLevel="0" collapsed="false">
      <c r="A8" s="5" t="s">
        <v>35</v>
      </c>
      <c r="B8" s="5" t="s">
        <v>37</v>
      </c>
      <c r="C8" s="5" t="s">
        <v>246</v>
      </c>
    </row>
    <row r="9" customFormat="false" ht="23.85" hidden="false" customHeight="false" outlineLevel="0" collapsed="false">
      <c r="A9" s="5" t="s">
        <v>38</v>
      </c>
      <c r="B9" s="5" t="s">
        <v>40</v>
      </c>
      <c r="C9" s="5" t="s">
        <v>196</v>
      </c>
    </row>
    <row r="10" customFormat="false" ht="23.85" hidden="false" customHeight="false" outlineLevel="0" collapsed="false">
      <c r="A10" s="5" t="s">
        <v>41</v>
      </c>
      <c r="B10" s="5" t="s">
        <v>43</v>
      </c>
      <c r="C10" s="5" t="s">
        <v>247</v>
      </c>
    </row>
    <row r="11" customFormat="false" ht="15" hidden="false" customHeight="false" outlineLevel="0" collapsed="false">
      <c r="A11" s="5" t="s">
        <v>44</v>
      </c>
      <c r="B11" s="5" t="s">
        <v>46</v>
      </c>
      <c r="C11" s="5" t="s">
        <v>248</v>
      </c>
    </row>
    <row r="12" customFormat="false" ht="23.85" hidden="false" customHeight="false" outlineLevel="0" collapsed="false">
      <c r="A12" s="5" t="s">
        <v>47</v>
      </c>
      <c r="B12" s="5" t="s">
        <v>49</v>
      </c>
      <c r="C12" s="5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55"/>
    <col collapsed="false" customWidth="true" hidden="false" outlineLevel="0" max="4" min="4" style="0" width="3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4" t="s">
        <v>250</v>
      </c>
      <c r="B1" s="4" t="s">
        <v>251</v>
      </c>
      <c r="C1" s="4" t="s">
        <v>252</v>
      </c>
      <c r="D1" s="4" t="s">
        <v>253</v>
      </c>
      <c r="E1" s="4" t="s">
        <v>254</v>
      </c>
    </row>
    <row r="2" customFormat="false" ht="23.85" hidden="false" customHeight="false" outlineLevel="0" collapsed="false">
      <c r="A2" s="5" t="s">
        <v>255</v>
      </c>
      <c r="B2" s="5" t="s">
        <v>256</v>
      </c>
      <c r="C2" s="6" t="s">
        <v>257</v>
      </c>
      <c r="D2" s="5" t="s">
        <v>258</v>
      </c>
      <c r="E2" s="5"/>
    </row>
    <row r="3" customFormat="false" ht="23.85" hidden="false" customHeight="false" outlineLevel="0" collapsed="false">
      <c r="A3" s="5" t="s">
        <v>259</v>
      </c>
      <c r="B3" s="5" t="s">
        <v>260</v>
      </c>
      <c r="C3" s="6" t="s">
        <v>261</v>
      </c>
      <c r="D3" s="5" t="s">
        <v>262</v>
      </c>
      <c r="E3" s="5"/>
    </row>
    <row r="4" customFormat="false" ht="32.8" hidden="false" customHeight="false" outlineLevel="0" collapsed="false">
      <c r="A4" s="5" t="s">
        <v>263</v>
      </c>
      <c r="B4" s="5" t="s">
        <v>264</v>
      </c>
      <c r="C4" s="6" t="s">
        <v>265</v>
      </c>
      <c r="D4" s="5" t="s">
        <v>266</v>
      </c>
      <c r="E4" s="5"/>
    </row>
    <row r="5" customFormat="false" ht="23.85" hidden="false" customHeight="false" outlineLevel="0" collapsed="false">
      <c r="A5" s="5" t="s">
        <v>267</v>
      </c>
      <c r="B5" s="5" t="s">
        <v>268</v>
      </c>
      <c r="C5" s="6" t="s">
        <v>269</v>
      </c>
      <c r="D5" s="5" t="s">
        <v>270</v>
      </c>
      <c r="E5" s="5"/>
    </row>
    <row r="6" customFormat="false" ht="23.85" hidden="false" customHeight="false" outlineLevel="0" collapsed="false">
      <c r="A6" s="5" t="s">
        <v>271</v>
      </c>
      <c r="B6" s="5" t="s">
        <v>272</v>
      </c>
      <c r="C6" s="6" t="s">
        <v>273</v>
      </c>
      <c r="D6" s="5" t="s">
        <v>274</v>
      </c>
      <c r="E6" s="5"/>
    </row>
    <row r="7" customFormat="false" ht="35.05" hidden="false" customHeight="false" outlineLevel="0" collapsed="false">
      <c r="A7" s="5" t="s">
        <v>275</v>
      </c>
      <c r="B7" s="5" t="s">
        <v>276</v>
      </c>
      <c r="C7" s="6" t="s">
        <v>277</v>
      </c>
      <c r="D7" s="5" t="s">
        <v>278</v>
      </c>
      <c r="E7" s="5"/>
    </row>
    <row r="8" customFormat="false" ht="23.85" hidden="false" customHeight="false" outlineLevel="0" collapsed="false">
      <c r="A8" s="5" t="s">
        <v>279</v>
      </c>
      <c r="B8" s="5" t="s">
        <v>280</v>
      </c>
      <c r="C8" s="6" t="s">
        <v>281</v>
      </c>
      <c r="D8" s="5" t="s">
        <v>282</v>
      </c>
      <c r="E8" s="5"/>
    </row>
    <row r="9" customFormat="false" ht="23.85" hidden="false" customHeight="false" outlineLevel="0" collapsed="false">
      <c r="A9" s="5" t="s">
        <v>283</v>
      </c>
      <c r="B9" s="5" t="s">
        <v>284</v>
      </c>
      <c r="C9" s="6" t="s">
        <v>285</v>
      </c>
      <c r="D9" s="5" t="s">
        <v>286</v>
      </c>
      <c r="E9" s="5"/>
    </row>
    <row r="10" customFormat="false" ht="23.85" hidden="false" customHeight="false" outlineLevel="0" collapsed="false">
      <c r="A10" s="5" t="s">
        <v>287</v>
      </c>
      <c r="B10" s="5" t="s">
        <v>288</v>
      </c>
      <c r="C10" s="6" t="s">
        <v>289</v>
      </c>
      <c r="D10" s="5" t="s">
        <v>290</v>
      </c>
      <c r="E10" s="5"/>
    </row>
    <row r="11" customFormat="false" ht="23.85" hidden="false" customHeight="false" outlineLevel="0" collapsed="false">
      <c r="A11" s="5" t="s">
        <v>291</v>
      </c>
      <c r="B11" s="5" t="s">
        <v>292</v>
      </c>
      <c r="C11" s="6" t="s">
        <v>293</v>
      </c>
      <c r="D11" s="5" t="s">
        <v>294</v>
      </c>
      <c r="E11" s="5"/>
    </row>
  </sheetData>
  <dataValidations count="1">
    <dataValidation allowBlank="true" errorStyle="stop" operator="between" showDropDown="false" showErrorMessage="false" showInputMessage="false" sqref="E2:E11" type="list">
      <formula1>"Pass,Fail,Not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295</v>
      </c>
    </row>
    <row r="3" customFormat="false" ht="15" hidden="false" customHeight="false" outlineLevel="0" collapsed="false">
      <c r="A3" s="7" t="s">
        <v>296</v>
      </c>
      <c r="B3" s="8" t="n">
        <f aca="false">COUNTA('Test Cases'!A2:A37)</f>
        <v>36</v>
      </c>
    </row>
    <row r="4" customFormat="false" ht="15" hidden="false" customHeight="false" outlineLevel="0" collapsed="false">
      <c r="A4" s="7" t="s">
        <v>297</v>
      </c>
      <c r="B4" s="8" t="n">
        <f aca="false">COUNTIF('Test Cases'!K2:K37,"Pass")</f>
        <v>0</v>
      </c>
    </row>
    <row r="5" customFormat="false" ht="15" hidden="false" customHeight="false" outlineLevel="0" collapsed="false">
      <c r="A5" s="7" t="s">
        <v>298</v>
      </c>
      <c r="B5" s="8" t="n">
        <f aca="false">COUNTIF('Test Cases'!K2:K37,"Fail")</f>
        <v>0</v>
      </c>
    </row>
    <row r="6" customFormat="false" ht="15" hidden="false" customHeight="false" outlineLevel="0" collapsed="false">
      <c r="A6" s="7" t="s">
        <v>299</v>
      </c>
      <c r="B6" s="8" t="n">
        <f aca="false">COUNTIF('Test Cases'!K2:K37,"Blocked")</f>
        <v>0</v>
      </c>
    </row>
    <row r="7" customFormat="false" ht="15" hidden="false" customHeight="false" outlineLevel="0" collapsed="false">
      <c r="A7" s="7" t="s">
        <v>68</v>
      </c>
      <c r="B7" s="8" t="n">
        <f aca="false">COUNTIF('Test Cases'!K2:K37,"Not Executed")</f>
        <v>36</v>
      </c>
    </row>
    <row r="8" customFormat="false" ht="15" hidden="false" customHeight="false" outlineLevel="0" collapsed="false">
      <c r="A8" s="7" t="s">
        <v>300</v>
      </c>
      <c r="B8" s="9" t="n">
        <f aca="false">IFERROR(B3/B2,0)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2026-08-20T04:58:41Z</dcterms:created>
  <dc:creator>openpyxl</dc:creator>
  <dc:description/>
  <dc:language>en-US</dc:language>
  <cp:lastModifiedBy/>
  <dcterms:modified xsi:type="dcterms:W3CDTF">2026-08-20T04:58:41Z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